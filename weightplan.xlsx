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RC CAR\Design files\car\Car v2\"/>
    </mc:Choice>
  </mc:AlternateContent>
  <xr:revisionPtr revIDLastSave="0" documentId="13_ncr:1_{0DB8990F-8C03-4BD9-9591-EFBC4A0177D2}" xr6:coauthVersionLast="47" xr6:coauthVersionMax="47" xr10:uidLastSave="{00000000-0000-0000-0000-000000000000}"/>
  <bookViews>
    <workbookView xWindow="-120" yWindow="-120" windowWidth="38640" windowHeight="21120" activeTab="2" xr2:uid="{7CC42517-E11A-4C60-AF0A-CD7059BFAC1A}"/>
  </bookViews>
  <sheets>
    <sheet name="z" sheetId="1" r:id="rId1"/>
    <sheet name="z (front bias)" sheetId="3" r:id="rId2"/>
    <sheet name="z (5050)" sheetId="4" r:id="rId3"/>
    <sheet name="x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4" l="1"/>
  <c r="E9" i="4"/>
  <c r="E8" i="4"/>
  <c r="E7" i="4"/>
  <c r="E10" i="3"/>
  <c r="E9" i="3"/>
  <c r="E8" i="3"/>
  <c r="E7" i="3"/>
  <c r="F6" i="1"/>
  <c r="J5" i="1"/>
  <c r="L7" i="2"/>
  <c r="L6" i="2"/>
  <c r="L5" i="2"/>
  <c r="F6" i="2"/>
  <c r="F7" i="2"/>
  <c r="F9" i="2" s="1"/>
  <c r="F8" i="2"/>
  <c r="G7" i="4" l="1"/>
  <c r="I7" i="4" s="1"/>
  <c r="G7" i="3"/>
  <c r="I7" i="3" s="1"/>
  <c r="L8" i="2"/>
  <c r="P5" i="2" s="1"/>
  <c r="F5" i="2"/>
  <c r="F7" i="1"/>
  <c r="F8" i="1"/>
  <c r="F5" i="1"/>
  <c r="H5" i="1" l="1"/>
</calcChain>
</file>

<file path=xl/sharedStrings.xml><?xml version="1.0" encoding="utf-8"?>
<sst xmlns="http://schemas.openxmlformats.org/spreadsheetml/2006/main" count="61" uniqueCount="28">
  <si>
    <t>PT Moment</t>
  </si>
  <si>
    <t>gmm</t>
  </si>
  <si>
    <t>Front Plan</t>
  </si>
  <si>
    <t>Battery</t>
  </si>
  <si>
    <t>Mass</t>
  </si>
  <si>
    <t>Plan Distance</t>
  </si>
  <si>
    <t>Servo</t>
  </si>
  <si>
    <t>ESC</t>
  </si>
  <si>
    <t>Arduino</t>
  </si>
  <si>
    <t>Bend Moment</t>
  </si>
  <si>
    <t>Total Bend Front</t>
  </si>
  <si>
    <t xml:space="preserve">Bias </t>
  </si>
  <si>
    <t>Left side</t>
  </si>
  <si>
    <t>Centre Line:</t>
  </si>
  <si>
    <t>Differential</t>
  </si>
  <si>
    <t>Comp</t>
  </si>
  <si>
    <t>Motor</t>
  </si>
  <si>
    <t>Distance from centre</t>
  </si>
  <si>
    <t>Driver Gear</t>
  </si>
  <si>
    <t>mass</t>
  </si>
  <si>
    <t>Total</t>
  </si>
  <si>
    <t>Right Side</t>
  </si>
  <si>
    <t>Unit:</t>
  </si>
  <si>
    <t>Idler</t>
  </si>
  <si>
    <t>Sum of Moment L&amp;R</t>
  </si>
  <si>
    <t>negative = right bias</t>
  </si>
  <si>
    <t>best to keep as close to 0</t>
  </si>
  <si>
    <t>red cannot be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</si>
</sst>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0D56-8207-47C7-8283-064147DA533D}">
  <dimension ref="A1:J8"/>
  <sheetViews>
    <sheetView zoomScale="145" zoomScaleNormal="145" workbookViewId="0">
      <selection activeCell="C2" sqref="C2:J9"/>
    </sheetView>
  </sheetViews>
  <sheetFormatPr defaultRowHeight="15" x14ac:dyDescent="0.25"/>
  <cols>
    <col min="1" max="1" width="10.7109375" bestFit="1" customWidth="1"/>
    <col min="3" max="3" width="10" bestFit="1" customWidth="1"/>
    <col min="4" max="4" width="9.140625" customWidth="1"/>
    <col min="5" max="5" width="17.28515625" bestFit="1" customWidth="1"/>
    <col min="6" max="6" width="13.140625" bestFit="1" customWidth="1"/>
    <col min="8" max="8" width="15.42578125" bestFit="1" customWidth="1"/>
    <col min="10" max="10" width="9.140625" customWidth="1"/>
  </cols>
  <sheetData>
    <row r="1" spans="1:10" x14ac:dyDescent="0.25">
      <c r="A1" t="s">
        <v>1</v>
      </c>
    </row>
    <row r="2" spans="1:10" x14ac:dyDescent="0.25">
      <c r="A2" t="s">
        <v>0</v>
      </c>
      <c r="C2" t="s">
        <v>2</v>
      </c>
    </row>
    <row r="3" spans="1:10" x14ac:dyDescent="0.25">
      <c r="A3">
        <v>10429.65</v>
      </c>
    </row>
    <row r="4" spans="1:10" x14ac:dyDescent="0.25">
      <c r="D4" t="s">
        <v>4</v>
      </c>
      <c r="E4" t="s">
        <v>5</v>
      </c>
      <c r="F4" t="s">
        <v>9</v>
      </c>
      <c r="H4" t="s">
        <v>10</v>
      </c>
      <c r="J4" t="s">
        <v>11</v>
      </c>
    </row>
    <row r="5" spans="1:10" x14ac:dyDescent="0.25">
      <c r="C5" t="s">
        <v>3</v>
      </c>
      <c r="D5">
        <v>438</v>
      </c>
      <c r="E5">
        <v>-6.5</v>
      </c>
      <c r="F5">
        <f>E5*D5</f>
        <v>-2847</v>
      </c>
      <c r="H5">
        <f>SUM(F5:F8)</f>
        <v>10429</v>
      </c>
      <c r="J5">
        <f>A3-H5</f>
        <v>0.6499999999996362</v>
      </c>
    </row>
    <row r="6" spans="1:10" x14ac:dyDescent="0.25">
      <c r="C6" t="s">
        <v>6</v>
      </c>
      <c r="D6">
        <v>68</v>
      </c>
      <c r="E6">
        <v>190</v>
      </c>
      <c r="F6">
        <f>E6*D6</f>
        <v>12920</v>
      </c>
    </row>
    <row r="7" spans="1:10" x14ac:dyDescent="0.25">
      <c r="C7" t="s">
        <v>7</v>
      </c>
      <c r="D7">
        <v>92</v>
      </c>
      <c r="E7">
        <v>3</v>
      </c>
      <c r="F7">
        <f t="shared" ref="F7:F8" si="0">E7*D7</f>
        <v>276</v>
      </c>
    </row>
    <row r="8" spans="1:10" x14ac:dyDescent="0.25">
      <c r="C8" t="s">
        <v>8</v>
      </c>
      <c r="D8">
        <v>50</v>
      </c>
      <c r="E8">
        <v>1.6</v>
      </c>
      <c r="F8">
        <f t="shared" si="0"/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5BA9-B04A-48B1-A49C-E85873492DCA}">
  <dimension ref="A2:I10"/>
  <sheetViews>
    <sheetView workbookViewId="0">
      <selection activeCell="A2" sqref="A2:I11"/>
    </sheetView>
  </sheetViews>
  <sheetFormatPr defaultRowHeight="15" x14ac:dyDescent="0.25"/>
  <cols>
    <col min="1" max="1" width="10.7109375" bestFit="1" customWidth="1"/>
  </cols>
  <sheetData>
    <row r="2" spans="1:9" x14ac:dyDescent="0.25">
      <c r="A2" t="s">
        <v>0</v>
      </c>
    </row>
    <row r="3" spans="1:9" x14ac:dyDescent="0.25">
      <c r="A3">
        <v>69213.649999999994</v>
      </c>
    </row>
    <row r="4" spans="1:9" x14ac:dyDescent="0.25">
      <c r="B4" t="s">
        <v>2</v>
      </c>
    </row>
    <row r="6" spans="1:9" x14ac:dyDescent="0.25">
      <c r="C6" t="s">
        <v>4</v>
      </c>
      <c r="D6" t="s">
        <v>5</v>
      </c>
      <c r="E6" t="s">
        <v>9</v>
      </c>
      <c r="G6" t="s">
        <v>10</v>
      </c>
      <c r="I6" t="s">
        <v>11</v>
      </c>
    </row>
    <row r="7" spans="1:9" x14ac:dyDescent="0.25">
      <c r="B7" t="s">
        <v>3</v>
      </c>
      <c r="C7">
        <v>438</v>
      </c>
      <c r="D7">
        <v>88</v>
      </c>
      <c r="E7">
        <f>D7*C7</f>
        <v>38544</v>
      </c>
      <c r="G7">
        <f>SUM(E7:E10)</f>
        <v>51992</v>
      </c>
      <c r="I7">
        <f>A3-G7</f>
        <v>17221.649999999994</v>
      </c>
    </row>
    <row r="8" spans="1:9" x14ac:dyDescent="0.25">
      <c r="B8" t="s">
        <v>6</v>
      </c>
      <c r="C8">
        <v>68</v>
      </c>
      <c r="D8">
        <v>14</v>
      </c>
      <c r="E8">
        <f>D8*C8</f>
        <v>952</v>
      </c>
    </row>
    <row r="9" spans="1:9" x14ac:dyDescent="0.25">
      <c r="B9" t="s">
        <v>7</v>
      </c>
      <c r="C9">
        <v>92</v>
      </c>
      <c r="D9">
        <v>88</v>
      </c>
      <c r="E9">
        <f t="shared" ref="E9:E10" si="0">D9*C9</f>
        <v>8096</v>
      </c>
    </row>
    <row r="10" spans="1:9" x14ac:dyDescent="0.25">
      <c r="B10" t="s">
        <v>8</v>
      </c>
      <c r="C10">
        <v>50</v>
      </c>
      <c r="D10">
        <v>88</v>
      </c>
      <c r="E10">
        <f t="shared" si="0"/>
        <v>4400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5E853-19EB-4366-ACD2-757B15C39AA0}">
  <dimension ref="A2:I10"/>
  <sheetViews>
    <sheetView tabSelected="1" workbookViewId="0">
      <selection activeCell="D11" sqref="D11"/>
    </sheetView>
  </sheetViews>
  <sheetFormatPr defaultRowHeight="15" x14ac:dyDescent="0.25"/>
  <cols>
    <col min="1" max="1" width="10.7109375" bestFit="1" customWidth="1"/>
    <col min="2" max="2" width="10" bestFit="1" customWidth="1"/>
    <col min="4" max="4" width="13.28515625" bestFit="1" customWidth="1"/>
    <col min="5" max="5" width="13.140625" bestFit="1" customWidth="1"/>
    <col min="7" max="7" width="15.42578125" bestFit="1" customWidth="1"/>
  </cols>
  <sheetData>
    <row r="2" spans="1:9" x14ac:dyDescent="0.25">
      <c r="A2" t="s">
        <v>0</v>
      </c>
    </row>
    <row r="3" spans="1:9" x14ac:dyDescent="0.25">
      <c r="A3">
        <v>39821.65</v>
      </c>
    </row>
    <row r="4" spans="1:9" x14ac:dyDescent="0.25">
      <c r="B4" t="s">
        <v>2</v>
      </c>
    </row>
    <row r="6" spans="1:9" x14ac:dyDescent="0.25">
      <c r="C6" t="s">
        <v>4</v>
      </c>
      <c r="D6" t="s">
        <v>5</v>
      </c>
      <c r="E6" t="s">
        <v>9</v>
      </c>
      <c r="G6" t="s">
        <v>10</v>
      </c>
      <c r="I6" t="s">
        <v>11</v>
      </c>
    </row>
    <row r="7" spans="1:9" x14ac:dyDescent="0.25">
      <c r="B7" t="s">
        <v>3</v>
      </c>
      <c r="C7">
        <v>438</v>
      </c>
      <c r="D7">
        <v>77</v>
      </c>
      <c r="E7">
        <f>D7*C7</f>
        <v>33726</v>
      </c>
      <c r="G7">
        <f>SUM(E7:E10)</f>
        <v>39821.4</v>
      </c>
      <c r="I7">
        <f>A3-G7</f>
        <v>0.25</v>
      </c>
    </row>
    <row r="8" spans="1:9" x14ac:dyDescent="0.25">
      <c r="B8" t="s">
        <v>6</v>
      </c>
      <c r="C8">
        <v>68</v>
      </c>
      <c r="D8" s="3">
        <v>102</v>
      </c>
      <c r="E8">
        <f>D8*C8</f>
        <v>6936</v>
      </c>
    </row>
    <row r="9" spans="1:9" x14ac:dyDescent="0.25">
      <c r="B9" t="s">
        <v>7</v>
      </c>
      <c r="C9">
        <v>92</v>
      </c>
      <c r="D9">
        <v>-36.799999999999997</v>
      </c>
      <c r="E9">
        <f t="shared" ref="E9:E10" si="0">D9*C9</f>
        <v>-3385.6</v>
      </c>
    </row>
    <row r="10" spans="1:9" x14ac:dyDescent="0.25">
      <c r="B10" t="s">
        <v>8</v>
      </c>
      <c r="C10">
        <v>50</v>
      </c>
      <c r="D10">
        <v>50.9</v>
      </c>
      <c r="E10">
        <f t="shared" si="0"/>
        <v>2545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1C6C-55C2-48C7-B3E8-A84FC99AB9C0}">
  <dimension ref="A1:R9"/>
  <sheetViews>
    <sheetView workbookViewId="0">
      <selection activeCell="H22" sqref="H22"/>
    </sheetView>
  </sheetViews>
  <sheetFormatPr defaultRowHeight="15" x14ac:dyDescent="0.25"/>
  <cols>
    <col min="1" max="1" width="11.140625" bestFit="1" customWidth="1"/>
    <col min="2" max="2" width="10.7109375" bestFit="1" customWidth="1"/>
    <col min="3" max="3" width="11" bestFit="1" customWidth="1"/>
    <col min="4" max="4" width="19.42578125" bestFit="1" customWidth="1"/>
    <col min="6" max="6" width="13.5703125" bestFit="1" customWidth="1"/>
    <col min="9" max="9" width="9.5703125" bestFit="1" customWidth="1"/>
    <col min="10" max="10" width="20.28515625" bestFit="1" customWidth="1"/>
    <col min="12" max="12" width="13.5703125" bestFit="1" customWidth="1"/>
    <col min="16" max="16" width="19.42578125" bestFit="1" customWidth="1"/>
    <col min="18" max="18" width="27" bestFit="1" customWidth="1"/>
  </cols>
  <sheetData>
    <row r="1" spans="1:18" x14ac:dyDescent="0.25">
      <c r="A1" t="s">
        <v>13</v>
      </c>
      <c r="B1" t="s">
        <v>14</v>
      </c>
    </row>
    <row r="2" spans="1:18" x14ac:dyDescent="0.25">
      <c r="A2" t="s">
        <v>22</v>
      </c>
      <c r="B2" t="s">
        <v>1</v>
      </c>
    </row>
    <row r="3" spans="1:18" ht="18.75" x14ac:dyDescent="0.3">
      <c r="C3" s="1" t="s">
        <v>12</v>
      </c>
      <c r="I3" s="2" t="s">
        <v>21</v>
      </c>
    </row>
    <row r="4" spans="1:18" x14ac:dyDescent="0.25">
      <c r="C4" s="2" t="s">
        <v>15</v>
      </c>
      <c r="D4" s="2" t="s">
        <v>17</v>
      </c>
      <c r="E4" s="2" t="s">
        <v>19</v>
      </c>
      <c r="F4" s="2" t="s">
        <v>9</v>
      </c>
      <c r="G4" s="2"/>
      <c r="H4" s="2"/>
      <c r="I4" s="2" t="s">
        <v>15</v>
      </c>
      <c r="J4" s="2" t="s">
        <v>17</v>
      </c>
      <c r="K4" s="2" t="s">
        <v>19</v>
      </c>
      <c r="L4" s="2" t="s">
        <v>9</v>
      </c>
      <c r="M4" s="2"/>
      <c r="N4" s="2"/>
      <c r="O4" s="2"/>
      <c r="P4" s="2" t="s">
        <v>24</v>
      </c>
      <c r="Q4" s="2"/>
      <c r="R4" s="2"/>
    </row>
    <row r="5" spans="1:18" x14ac:dyDescent="0.25">
      <c r="C5" t="s">
        <v>16</v>
      </c>
      <c r="D5" s="3">
        <v>18</v>
      </c>
      <c r="E5">
        <v>203</v>
      </c>
      <c r="F5">
        <f>E5*D5</f>
        <v>3654</v>
      </c>
      <c r="I5" t="s">
        <v>7</v>
      </c>
      <c r="J5">
        <v>9.5</v>
      </c>
      <c r="K5">
        <v>92</v>
      </c>
      <c r="L5">
        <f>K5*J5</f>
        <v>874</v>
      </c>
      <c r="P5">
        <f>F9-L8</f>
        <v>0</v>
      </c>
      <c r="R5" t="s">
        <v>25</v>
      </c>
    </row>
    <row r="6" spans="1:18" x14ac:dyDescent="0.25">
      <c r="C6" t="s">
        <v>18</v>
      </c>
      <c r="D6" s="3">
        <v>5</v>
      </c>
      <c r="E6">
        <v>44</v>
      </c>
      <c r="F6">
        <f t="shared" ref="F6:F8" si="0">E6*D6</f>
        <v>220</v>
      </c>
      <c r="I6" t="s">
        <v>3</v>
      </c>
      <c r="J6">
        <v>12</v>
      </c>
      <c r="K6">
        <v>438</v>
      </c>
      <c r="L6">
        <f>K6*J6</f>
        <v>5256</v>
      </c>
      <c r="R6" t="s">
        <v>26</v>
      </c>
    </row>
    <row r="7" spans="1:18" ht="18.75" x14ac:dyDescent="0.3">
      <c r="C7" t="s">
        <v>8</v>
      </c>
      <c r="D7">
        <v>9.52</v>
      </c>
      <c r="E7">
        <v>50</v>
      </c>
      <c r="F7">
        <f t="shared" si="0"/>
        <v>476</v>
      </c>
      <c r="I7" t="s">
        <v>23</v>
      </c>
      <c r="J7" s="3">
        <v>20</v>
      </c>
      <c r="K7">
        <v>13</v>
      </c>
      <c r="L7">
        <f>K7*J7</f>
        <v>260</v>
      </c>
      <c r="R7" s="4" t="s">
        <v>27</v>
      </c>
    </row>
    <row r="8" spans="1:18" x14ac:dyDescent="0.25">
      <c r="C8" t="s">
        <v>6</v>
      </c>
      <c r="D8">
        <v>30</v>
      </c>
      <c r="E8">
        <v>68</v>
      </c>
      <c r="F8">
        <f t="shared" si="0"/>
        <v>2040</v>
      </c>
      <c r="K8" t="s">
        <v>20</v>
      </c>
      <c r="L8">
        <f>SUM(L5:L7)</f>
        <v>6390</v>
      </c>
    </row>
    <row r="9" spans="1:18" x14ac:dyDescent="0.25">
      <c r="E9" t="s">
        <v>20</v>
      </c>
      <c r="F9">
        <f>SUM(F5:F8)</f>
        <v>6390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</vt:lpstr>
      <vt:lpstr>z (front bias)</vt:lpstr>
      <vt:lpstr>z (5050)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Hashim Kapacee</dc:creator>
  <cp:lastModifiedBy>Hashim Kapacee</cp:lastModifiedBy>
  <dcterms:created xsi:type="dcterms:W3CDTF">2025-07-15T18:23:39Z</dcterms:created>
  <dcterms:modified xsi:type="dcterms:W3CDTF">2025-11-06T01:11:04Z</dcterms:modified>
</cp:coreProperties>
</file>